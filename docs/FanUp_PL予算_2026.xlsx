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月次PL（標準）" sheetId="2" state="visible" r:id="rId4"/>
    <sheet name="3ヵ年P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<sst xmlns="http://schemas.openxmlformats.org/spreadsheetml/2006/main" count="93" uniqueCount="82">
  <si>
    <r>
      <rPr>
        <b val="true"/>
        <sz val="16"/>
        <color rgb="FF1E1145"/>
        <rFont val="Arial"/>
        <family val="0"/>
        <charset val="1"/>
      </rPr>
      <t xml:space="preserve">FanUp </t>
    </r>
    <r>
      <rPr>
        <b val="true"/>
        <sz val="16"/>
        <color rgb="FF1E1145"/>
        <rFont val="Noto Sans CJK SC"/>
        <family val="2"/>
      </rPr>
      <t xml:space="preserve">事業計画 — 前提条件</t>
    </r>
  </si>
  <si>
    <t xml:space="preserve">収益モデル</t>
  </si>
  <si>
    <t xml:space="preserve">平均プロジェクト金額（円）</t>
  </si>
  <si>
    <r>
      <rPr>
        <sz val="9"/>
        <color rgb="FF6B7280"/>
        <rFont val="Arial"/>
        <family val="0"/>
        <charset val="1"/>
      </rPr>
      <t xml:space="preserve">Fantia</t>
    </r>
    <r>
      <rPr>
        <sz val="9"/>
        <color rgb="FF6B7280"/>
        <rFont val="Noto Sans CJK SC"/>
        <family val="2"/>
      </rPr>
      <t xml:space="preserve">デビュー系の平均</t>
    </r>
  </si>
  <si>
    <t xml:space="preserve">プラットフォーム手数料</t>
  </si>
  <si>
    <t xml:space="preserve">成立時のみ発生</t>
  </si>
  <si>
    <r>
      <rPr>
        <sz val="10"/>
        <color rgb="FF000000"/>
        <rFont val="Noto Sans CJK SC"/>
        <family val="2"/>
      </rPr>
      <t xml:space="preserve">決済手数料（</t>
    </r>
    <r>
      <rPr>
        <sz val="10"/>
        <color rgb="FF000000"/>
        <rFont val="Arial"/>
        <family val="0"/>
        <charset val="1"/>
      </rPr>
      <t xml:space="preserve">Stripe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</si>
  <si>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6B7280"/>
        <rFont val="Arial"/>
        <family val="0"/>
        <charset val="1"/>
      </rPr>
      <t xml:space="preserve">GMV</t>
    </r>
    <r>
      <rPr>
        <sz val="9"/>
        <color rgb="FF6B7280"/>
        <rFont val="Noto Sans CJK SC"/>
        <family val="2"/>
      </rPr>
      <t xml:space="preserve">に対して</t>
    </r>
  </si>
  <si>
    <t xml:space="preserve">プロジェクト達成率</t>
  </si>
  <si>
    <t xml:space="preserve">開始→成立の割合</t>
  </si>
  <si>
    <t xml:space="preserve">月別プロジェクト成立数（標準シナリオ）</t>
  </si>
  <si>
    <t xml:space="preserve">月</t>
  </si>
  <si>
    <t xml:space="preserve">保守</t>
  </si>
  <si>
    <t xml:space="preserve">標準</t>
  </si>
  <si>
    <t xml:space="preserve">楽観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</si>
  <si>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</si>
  <si>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</si>
  <si>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</si>
  <si>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</si>
  <si>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</si>
  <si>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</si>
  <si>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</si>
  <si>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</si>
  <si>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</si>
  <si>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</si>
  <si>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月目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</si>
  <si>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月目</t>
    </r>
  </si>
  <si>
    <t xml:space="preserve">合計</t>
  </si>
  <si>
    <t xml:space="preserve">コスト前提（月額・円）</t>
  </si>
  <si>
    <r>
      <rPr>
        <sz val="10"/>
        <color rgb="FF000000"/>
        <rFont val="Noto Sans CJK SC"/>
        <family val="2"/>
      </rPr>
      <t xml:space="preserve">サーバー費（</t>
    </r>
    <r>
      <rPr>
        <sz val="10"/>
        <color rgb="FF000000"/>
        <rFont val="Arial"/>
        <family val="0"/>
        <charset val="1"/>
      </rPr>
      <t xml:space="preserve">Vercel + Supabase</t>
    </r>
    <r>
      <rPr>
        <sz val="10"/>
        <color rgb="FF000000"/>
        <rFont val="Noto Sans CJK SC"/>
        <family val="2"/>
      </rPr>
      <t xml:space="preserve">）</t>
    </r>
  </si>
  <si>
    <t xml:space="preserve">固定費</t>
  </si>
  <si>
    <r>
      <rPr>
        <sz val="10"/>
        <color rgb="FF000000"/>
        <rFont val="Noto Sans CJK SC"/>
        <family val="2"/>
      </rPr>
      <t xml:space="preserve">ツール・</t>
    </r>
    <r>
      <rPr>
        <sz val="10"/>
        <color rgb="FF000000"/>
        <rFont val="Arial"/>
        <family val="0"/>
        <charset val="1"/>
      </rPr>
      <t xml:space="preserve">SaaS</t>
    </r>
    <r>
      <rPr>
        <sz val="10"/>
        <color rgb="FF000000"/>
        <rFont val="Noto Sans CJK SC"/>
        <family val="2"/>
      </rPr>
      <t xml:space="preserve">費</t>
    </r>
  </si>
  <si>
    <t xml:space="preserve">分析・メール等</t>
  </si>
  <si>
    <t xml:space="preserve">マーケティング費（初期）</t>
  </si>
  <si>
    <r>
      <rPr>
        <sz val="9"/>
        <color rgb="FF6B7280"/>
        <rFont val="Arial"/>
        <family val="0"/>
        <charset val="1"/>
      </rPr>
      <t xml:space="preserve">Instagram</t>
    </r>
    <r>
      <rPr>
        <sz val="9"/>
        <color rgb="FF6B7280"/>
        <rFont val="Noto Sans CJK SC"/>
        <family val="2"/>
      </rPr>
      <t xml:space="preserve">広告等</t>
    </r>
  </si>
  <si>
    <r>
      <rPr>
        <sz val="10"/>
        <color rgb="FF000000"/>
        <rFont val="Noto Sans CJK SC"/>
        <family val="2"/>
      </rPr>
      <t xml:space="preserve">マーケティング費（拡大期・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月目〜）</t>
    </r>
  </si>
  <si>
    <r>
      <rPr>
        <sz val="9"/>
        <color rgb="FF6B7280"/>
        <rFont val="Noto Sans CJK SC"/>
        <family val="2"/>
      </rPr>
      <t xml:space="preserve">広告＋</t>
    </r>
    <r>
      <rPr>
        <sz val="9"/>
        <color rgb="FF6B7280"/>
        <rFont val="Arial"/>
        <family val="0"/>
        <charset val="1"/>
      </rPr>
      <t xml:space="preserve">KOL</t>
    </r>
  </si>
  <si>
    <t xml:space="preserve">外注・業務委託費</t>
  </si>
  <si>
    <r>
      <rPr>
        <sz val="9"/>
        <color rgb="FF6B7280"/>
        <rFont val="Noto Sans CJK SC"/>
        <family val="2"/>
      </rPr>
      <t xml:space="preserve">デザイン・</t>
    </r>
    <r>
      <rPr>
        <sz val="9"/>
        <color rgb="FF6B7280"/>
        <rFont val="Arial"/>
        <family val="0"/>
        <charset val="1"/>
      </rPr>
      <t xml:space="preserve">CS</t>
    </r>
    <r>
      <rPr>
        <sz val="9"/>
        <color rgb="FF6B7280"/>
        <rFont val="Noto Sans CJK SC"/>
        <family val="2"/>
      </rPr>
      <t xml:space="preserve">等</t>
    </r>
  </si>
  <si>
    <t xml:space="preserve">その他（法務・会計等）</t>
  </si>
  <si>
    <r>
      <rPr>
        <b val="true"/>
        <sz val="14"/>
        <color rgb="FF1E1145"/>
        <rFont val="Arial"/>
        <family val="0"/>
        <charset val="1"/>
      </rPr>
      <t xml:space="preserve">FanUp </t>
    </r>
    <r>
      <rPr>
        <b val="true"/>
        <sz val="14"/>
        <color rgb="FF1E1145"/>
        <rFont val="Noto Sans CJK SC"/>
        <family val="2"/>
      </rPr>
      <t xml:space="preserve">月次損益計算書（標準シナリオ）　単位</t>
    </r>
    <r>
      <rPr>
        <b val="true"/>
        <sz val="14"/>
        <color rgb="FF1E1145"/>
        <rFont val="Arial"/>
        <family val="0"/>
        <charset val="1"/>
      </rPr>
      <t xml:space="preserve">: </t>
    </r>
    <r>
      <rPr>
        <b val="true"/>
        <sz val="14"/>
        <color rgb="FF1E1145"/>
        <rFont val="Noto Sans CJK SC"/>
        <family val="2"/>
      </rPr>
      <t xml:space="preserve">円</t>
    </r>
  </si>
  <si>
    <t xml:space="preserve">科目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</si>
  <si>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</si>
  <si>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</si>
  <si>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</si>
  <si>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</si>
  <si>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</si>
  <si>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</si>
  <si>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</si>
  <si>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</si>
  <si>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</si>
  <si>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</si>
  <si>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月目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</si>
  <si>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月目</t>
    </r>
  </si>
  <si>
    <t xml:space="preserve">年間合計</t>
  </si>
  <si>
    <t xml:space="preserve">成立プロジェクト数</t>
  </si>
  <si>
    <r>
      <rPr>
        <sz val="10"/>
        <color rgb="FF000000"/>
        <rFont val="Arial"/>
        <family val="0"/>
        <charset val="1"/>
      </rPr>
      <t xml:space="preserve">GMV</t>
    </r>
    <r>
      <rPr>
        <sz val="10"/>
        <color rgb="FF000000"/>
        <rFont val="Noto Sans CJK SC"/>
        <family val="2"/>
      </rPr>
      <t xml:space="preserve">（総取扱高）</t>
    </r>
  </si>
  <si>
    <t xml:space="preserve">売上高（手数料収入）</t>
  </si>
  <si>
    <t xml:space="preserve">売上総利益</t>
  </si>
  <si>
    <t xml:space="preserve">販管費</t>
  </si>
  <si>
    <t xml:space="preserve">  サーバー費</t>
  </si>
  <si>
    <r>
      <rPr>
        <sz val="10"/>
        <color rgb="FF000000"/>
        <rFont val="Noto Sans CJK SC"/>
        <family val="2"/>
      </rPr>
      <t xml:space="preserve">  ツール・</t>
    </r>
    <r>
      <rPr>
        <sz val="10"/>
        <color rgb="FF000000"/>
        <rFont val="Arial"/>
        <family val="0"/>
        <charset val="1"/>
      </rPr>
      <t xml:space="preserve">SaaS</t>
    </r>
    <r>
      <rPr>
        <sz val="10"/>
        <color rgb="FF000000"/>
        <rFont val="Noto Sans CJK SC"/>
        <family val="2"/>
      </rPr>
      <t xml:space="preserve">費</t>
    </r>
  </si>
  <si>
    <t xml:space="preserve">  マーケティング費</t>
  </si>
  <si>
    <t xml:space="preserve">  外注・業務委託費</t>
  </si>
  <si>
    <t xml:space="preserve">  その他</t>
  </si>
  <si>
    <t xml:space="preserve">販管費合計</t>
  </si>
  <si>
    <t xml:space="preserve">営業利益</t>
  </si>
  <si>
    <t xml:space="preserve">営業利益率</t>
  </si>
  <si>
    <r>
      <rPr>
        <b val="true"/>
        <sz val="14"/>
        <color rgb="FF1E1145"/>
        <rFont val="Arial"/>
        <family val="0"/>
        <charset val="1"/>
      </rPr>
      <t xml:space="preserve">FanUp 3</t>
    </r>
    <r>
      <rPr>
        <b val="true"/>
        <sz val="14"/>
        <color rgb="FF1E1145"/>
        <rFont val="Noto Sans CJK SC"/>
        <family val="2"/>
      </rPr>
      <t xml:space="preserve">ヵ年損益計算書　単位</t>
    </r>
    <r>
      <rPr>
        <b val="true"/>
        <sz val="14"/>
        <color rgb="FF1E1145"/>
        <rFont val="Arial"/>
        <family val="0"/>
        <charset val="1"/>
      </rPr>
      <t xml:space="preserve">: </t>
    </r>
    <r>
      <rPr>
        <b val="true"/>
        <sz val="14"/>
        <color rgb="FF1E1145"/>
        <rFont val="Noto Sans CJK SC"/>
        <family val="2"/>
      </rPr>
      <t xml:space="preserve">円</t>
    </r>
  </si>
  <si>
    <t xml:space="preserve">保守・初年度</t>
  </si>
  <si>
    <r>
      <rPr>
        <b val="true"/>
        <sz val="9"/>
        <color rgb="FFFFFFFF"/>
        <rFont val="Noto Sans CJK SC"/>
        <family val="2"/>
      </rPr>
      <t xml:space="preserve">保守・</t>
    </r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年目</t>
    </r>
  </si>
  <si>
    <r>
      <rPr>
        <b val="true"/>
        <sz val="9"/>
        <color rgb="FFFFFFFF"/>
        <rFont val="Noto Sans CJK SC"/>
        <family val="2"/>
      </rPr>
      <t xml:space="preserve">保守・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年目</t>
    </r>
  </si>
  <si>
    <t xml:space="preserve">標準・初年度</t>
  </si>
  <si>
    <r>
      <rPr>
        <b val="true"/>
        <sz val="9"/>
        <color rgb="FFFFFFFF"/>
        <rFont val="Noto Sans CJK SC"/>
        <family val="2"/>
      </rPr>
      <t xml:space="preserve">標準・</t>
    </r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年目</t>
    </r>
  </si>
  <si>
    <r>
      <rPr>
        <b val="true"/>
        <sz val="9"/>
        <color rgb="FFFFFFFF"/>
        <rFont val="Noto Sans CJK SC"/>
        <family val="2"/>
      </rPr>
      <t xml:space="preserve">標準・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年目</t>
    </r>
  </si>
  <si>
    <t xml:space="preserve">楽観・初年度</t>
  </si>
  <si>
    <r>
      <rPr>
        <b val="true"/>
        <sz val="9"/>
        <color rgb="FFFFFFFF"/>
        <rFont val="Noto Sans CJK SC"/>
        <family val="2"/>
      </rPr>
      <t xml:space="preserve">楽観・</t>
    </r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年目</t>
    </r>
  </si>
  <si>
    <r>
      <rPr>
        <b val="true"/>
        <sz val="9"/>
        <color rgb="FFFFFFFF"/>
        <rFont val="Noto Sans CJK SC"/>
        <family val="2"/>
      </rPr>
      <t xml:space="preserve">楽観・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年目</t>
    </r>
  </si>
  <si>
    <r>
      <rPr>
        <b val="true"/>
        <sz val="10"/>
        <color rgb="FF000000"/>
        <rFont val="Arial"/>
        <family val="0"/>
        <charset val="1"/>
      </rPr>
      <t xml:space="preserve">GMV</t>
    </r>
    <r>
      <rPr>
        <b val="true"/>
        <sz val="10"/>
        <color rgb="FF000000"/>
        <rFont val="Noto Sans CJK SC"/>
        <family val="2"/>
      </rPr>
      <t xml:space="preserve">（総取扱高）</t>
    </r>
  </si>
  <si>
    <r>
      <rPr>
        <b val="true"/>
        <sz val="10"/>
        <color rgb="FF000000"/>
        <rFont val="Noto Sans CJK SC"/>
        <family val="2"/>
      </rPr>
      <t xml:space="preserve">売上高（手数料</t>
    </r>
    <r>
      <rPr>
        <b val="true"/>
        <sz val="10"/>
        <color rgb="FF000000"/>
        <rFont val="Arial"/>
        <family val="0"/>
        <charset val="1"/>
      </rPr>
      <t xml:space="preserve">30%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</si>
  <si>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決済手数料（</t>
    </r>
    <r>
      <rPr>
        <sz val="10"/>
        <color rgb="FF000000"/>
        <rFont val="Arial"/>
        <family val="0"/>
        <charset val="1"/>
      </rPr>
      <t xml:space="preserve">Stripe 3.6%</t>
    </r>
    <r>
      <rPr>
        <sz val="10"/>
        <color rgb="FF000000"/>
        <rFont val="Noto Sans CJK SC"/>
        <family val="2"/>
      </rPr>
      <t xml:space="preserve">）</t>
    </r>
  </si>
  <si>
    <t xml:space="preserve">  人件費・外注費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</si>
</sst>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145"/>
      <name val="Arial"/>
      <family val="0"/>
      <charset val="1"/>
    </font>
    <font>
      <b val="true"/>
      <sz val="16"/>
      <color rgb="FF1E1145"/>
      <name val="Noto Sans CJK SC"/>
      <family val="2"/>
    </font>
    <font>
      <b val="true"/>
      <sz val="12"/>
      <color rgb="FF6C3AED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4"/>
      <color rgb="FF1E1145"/>
      <name val="Arial"/>
      <family val="0"/>
      <charset val="1"/>
    </font>
    <font>
      <b val="true"/>
      <sz val="14"/>
      <color rgb="FF1E1145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C3AED"/>
        <bgColor rgb="FF3366FF"/>
      </patternFill>
    </fill>
    <fill>
      <patternFill patternType="solid">
        <fgColor rgb="FF1E1145"/>
        <bgColor rgb="FF000080"/>
      </patternFill>
    </fill>
    <fill>
      <patternFill patternType="solid">
        <fgColor rgb="FFF5F3FF"/>
        <bgColor rgb="FFFFF7ED"/>
      </patternFill>
    </fill>
    <fill>
      <patternFill patternType="solid">
        <fgColor rgb="FFFFF7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1145"/>
      <rgbColor rgb="FF808000"/>
      <rgbColor rgb="FF800080"/>
      <rgbColor rgb="FF008080"/>
      <rgbColor rgb="FFC0C0C0"/>
      <rgbColor rgb="FF808080"/>
      <rgbColor rgb="FF9999FF"/>
      <rgbColor rgb="FF993366"/>
      <rgbColor rgb="FFFFF7ED"/>
      <rgbColor rgb="FFF5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6C3AE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AED"/>
    <pageSetUpPr fitToPage="false"/>
  </sheetPr>
  <dimension ref="B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25"/>
  </cols>
  <sheetData>
    <row r="1" customFormat="false" ht="23.85" hidden="false" customHeight="false" outlineLevel="0" collapsed="false">
      <c r="B1" s="1" t="s">
        <v>0</v>
      </c>
      <c r="C1" s="1"/>
      <c r="D1" s="1"/>
      <c r="E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350000</v>
      </c>
      <c r="D4" s="5" t="s">
        <v>3</v>
      </c>
    </row>
    <row r="5" customFormat="false" ht="15" hidden="false" customHeight="false" outlineLevel="0" collapsed="false">
      <c r="B5" s="3" t="s">
        <v>4</v>
      </c>
      <c r="C5" s="6" t="n">
        <v>0.3</v>
      </c>
      <c r="D5" s="7" t="s">
        <v>5</v>
      </c>
    </row>
    <row r="6" customFormat="false" ht="15" hidden="false" customHeight="false" outlineLevel="0" collapsed="false">
      <c r="B6" s="3" t="s">
        <v>6</v>
      </c>
      <c r="C6" s="6" t="n">
        <v>0.036</v>
      </c>
      <c r="D6" s="5" t="s">
        <v>7</v>
      </c>
    </row>
    <row r="7" customFormat="false" ht="15" hidden="false" customHeight="false" outlineLevel="0" collapsed="false">
      <c r="B7" s="3" t="s">
        <v>8</v>
      </c>
      <c r="C7" s="6" t="n">
        <v>0.55</v>
      </c>
      <c r="D7" s="7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8" t="s">
        <v>11</v>
      </c>
      <c r="C11" s="8" t="s">
        <v>12</v>
      </c>
      <c r="D11" s="8" t="s">
        <v>13</v>
      </c>
      <c r="E11" s="8" t="s">
        <v>14</v>
      </c>
    </row>
    <row r="12" customFormat="false" ht="15" hidden="false" customHeight="false" outlineLevel="0" collapsed="false">
      <c r="B12" s="9" t="s">
        <v>15</v>
      </c>
      <c r="C12" s="4" t="n">
        <v>0</v>
      </c>
      <c r="D12" s="4" t="n">
        <v>0</v>
      </c>
      <c r="E12" s="4" t="n">
        <v>0</v>
      </c>
    </row>
    <row r="13" customFormat="false" ht="15" hidden="false" customHeight="false" outlineLevel="0" collapsed="false">
      <c r="B13" s="9" t="s">
        <v>16</v>
      </c>
      <c r="C13" s="4" t="n">
        <v>0</v>
      </c>
      <c r="D13" s="4" t="n">
        <v>0</v>
      </c>
      <c r="E13" s="4" t="n">
        <v>0</v>
      </c>
    </row>
    <row r="14" customFormat="false" ht="15" hidden="false" customHeight="false" outlineLevel="0" collapsed="false">
      <c r="B14" s="9" t="s">
        <v>17</v>
      </c>
      <c r="C14" s="4" t="n">
        <v>6</v>
      </c>
      <c r="D14" s="4" t="n">
        <v>10</v>
      </c>
      <c r="E14" s="4" t="n">
        <v>14</v>
      </c>
    </row>
    <row r="15" customFormat="false" ht="15" hidden="false" customHeight="false" outlineLevel="0" collapsed="false">
      <c r="B15" s="9" t="s">
        <v>18</v>
      </c>
      <c r="C15" s="4" t="n">
        <v>8</v>
      </c>
      <c r="D15" s="4" t="n">
        <v>13</v>
      </c>
      <c r="E15" s="4" t="n">
        <v>18</v>
      </c>
    </row>
    <row r="16" customFormat="false" ht="15" hidden="false" customHeight="false" outlineLevel="0" collapsed="false">
      <c r="B16" s="9" t="s">
        <v>19</v>
      </c>
      <c r="C16" s="4" t="n">
        <v>10</v>
      </c>
      <c r="D16" s="4" t="n">
        <v>16</v>
      </c>
      <c r="E16" s="4" t="n">
        <v>22</v>
      </c>
    </row>
    <row r="17" customFormat="false" ht="15" hidden="false" customHeight="false" outlineLevel="0" collapsed="false">
      <c r="B17" s="9" t="s">
        <v>20</v>
      </c>
      <c r="C17" s="4" t="n">
        <v>12</v>
      </c>
      <c r="D17" s="4" t="n">
        <v>19</v>
      </c>
      <c r="E17" s="4" t="n">
        <v>26</v>
      </c>
    </row>
    <row r="18" customFormat="false" ht="15" hidden="false" customHeight="false" outlineLevel="0" collapsed="false">
      <c r="B18" s="9" t="s">
        <v>21</v>
      </c>
      <c r="C18" s="4" t="n">
        <v>14</v>
      </c>
      <c r="D18" s="4" t="n">
        <v>22</v>
      </c>
      <c r="E18" s="4" t="n">
        <v>30</v>
      </c>
    </row>
    <row r="19" customFormat="false" ht="15" hidden="false" customHeight="false" outlineLevel="0" collapsed="false">
      <c r="B19" s="9" t="s">
        <v>22</v>
      </c>
      <c r="C19" s="4" t="n">
        <v>16</v>
      </c>
      <c r="D19" s="4" t="n">
        <v>25</v>
      </c>
      <c r="E19" s="4" t="n">
        <v>34</v>
      </c>
    </row>
    <row r="20" customFormat="false" ht="15" hidden="false" customHeight="false" outlineLevel="0" collapsed="false">
      <c r="B20" s="9" t="s">
        <v>23</v>
      </c>
      <c r="C20" s="4" t="n">
        <v>18</v>
      </c>
      <c r="D20" s="4" t="n">
        <v>28</v>
      </c>
      <c r="E20" s="4" t="n">
        <v>38</v>
      </c>
    </row>
    <row r="21" customFormat="false" ht="15" hidden="false" customHeight="false" outlineLevel="0" collapsed="false">
      <c r="B21" s="9" t="s">
        <v>24</v>
      </c>
      <c r="C21" s="4" t="n">
        <v>20</v>
      </c>
      <c r="D21" s="4" t="n">
        <v>31</v>
      </c>
      <c r="E21" s="4" t="n">
        <v>42</v>
      </c>
    </row>
    <row r="22" customFormat="false" ht="15" hidden="false" customHeight="false" outlineLevel="0" collapsed="false">
      <c r="B22" s="9" t="s">
        <v>25</v>
      </c>
      <c r="C22" s="4" t="n">
        <v>22</v>
      </c>
      <c r="D22" s="4" t="n">
        <v>34</v>
      </c>
      <c r="E22" s="4" t="n">
        <v>46</v>
      </c>
    </row>
    <row r="23" customFormat="false" ht="15" hidden="false" customHeight="false" outlineLevel="0" collapsed="false">
      <c r="B23" s="9" t="s">
        <v>26</v>
      </c>
      <c r="C23" s="4" t="n">
        <v>24</v>
      </c>
      <c r="D23" s="4" t="n">
        <v>37</v>
      </c>
      <c r="E23" s="4" t="n">
        <v>50</v>
      </c>
    </row>
    <row r="24" customFormat="false" ht="15" hidden="false" customHeight="false" outlineLevel="0" collapsed="false">
      <c r="B24" s="10" t="s">
        <v>27</v>
      </c>
      <c r="C24" s="11" t="n">
        <f aca="false">SUM(C12:C23)</f>
        <v>150</v>
      </c>
      <c r="D24" s="11" t="n">
        <f aca="false">SUM(D12:D23)</f>
        <v>235</v>
      </c>
      <c r="E24" s="11" t="n">
        <f aca="false">SUM(E12:E23)</f>
        <v>320</v>
      </c>
    </row>
    <row r="26" customFormat="false" ht="15" hidden="false" customHeight="false" outlineLevel="0" collapsed="false">
      <c r="B26" s="2" t="s">
        <v>28</v>
      </c>
    </row>
    <row r="27" customFormat="false" ht="15" hidden="false" customHeight="false" outlineLevel="0" collapsed="false">
      <c r="B27" s="3" t="s">
        <v>29</v>
      </c>
      <c r="C27" s="4" t="n">
        <v>30000</v>
      </c>
      <c r="D27" s="7" t="s">
        <v>30</v>
      </c>
    </row>
    <row r="28" customFormat="false" ht="15" hidden="false" customHeight="false" outlineLevel="0" collapsed="false">
      <c r="B28" s="3" t="s">
        <v>31</v>
      </c>
      <c r="C28" s="4" t="n">
        <v>20000</v>
      </c>
      <c r="D28" s="7" t="s">
        <v>32</v>
      </c>
    </row>
    <row r="29" customFormat="false" ht="15" hidden="false" customHeight="false" outlineLevel="0" collapsed="false">
      <c r="B29" s="3" t="s">
        <v>33</v>
      </c>
      <c r="C29" s="4" t="n">
        <v>100000</v>
      </c>
      <c r="D29" s="5" t="s">
        <v>34</v>
      </c>
    </row>
    <row r="30" customFormat="false" ht="15" hidden="false" customHeight="false" outlineLevel="0" collapsed="false">
      <c r="B30" s="3" t="s">
        <v>35</v>
      </c>
      <c r="C30" s="4" t="n">
        <v>300000</v>
      </c>
      <c r="D30" s="7" t="s">
        <v>36</v>
      </c>
    </row>
    <row r="31" customFormat="false" ht="15" hidden="false" customHeight="false" outlineLevel="0" collapsed="false">
      <c r="B31" s="3" t="s">
        <v>37</v>
      </c>
      <c r="C31" s="4" t="n">
        <v>200000</v>
      </c>
      <c r="D31" s="7" t="s">
        <v>38</v>
      </c>
    </row>
    <row r="32" customFormat="false" ht="15" hidden="false" customHeight="false" outlineLevel="0" collapsed="false">
      <c r="B32" s="3" t="s">
        <v>39</v>
      </c>
      <c r="C32" s="4" t="n">
        <v>50000</v>
      </c>
      <c r="D32" s="5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B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4" min="3" style="0" width="14"/>
    <col collapsed="false" customWidth="true" hidden="false" outlineLevel="0" max="15" min="15" style="0" width="16"/>
  </cols>
  <sheetData>
    <row r="1" customFormat="false" ht="21.6" hidden="false" customHeight="false" outlineLevel="0" collapsed="false">
      <c r="B1" s="12" t="s">
        <v>40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customFormat="false" ht="15" hidden="false" customHeight="false" outlineLevel="0" collapsed="false">
      <c r="B3" s="13" t="s">
        <v>41</v>
      </c>
      <c r="C3" s="14" t="s">
        <v>42</v>
      </c>
      <c r="D3" s="14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4" t="s">
        <v>48</v>
      </c>
      <c r="J3" s="14" t="s">
        <v>49</v>
      </c>
      <c r="K3" s="14" t="s">
        <v>50</v>
      </c>
      <c r="L3" s="14" t="s">
        <v>51</v>
      </c>
      <c r="M3" s="14" t="s">
        <v>52</v>
      </c>
      <c r="N3" s="14" t="s">
        <v>53</v>
      </c>
      <c r="O3" s="15" t="s">
        <v>54</v>
      </c>
    </row>
    <row r="4" customFormat="false" ht="15" hidden="false" customHeight="false" outlineLevel="0" collapsed="false">
      <c r="B4" s="3" t="s">
        <v>55</v>
      </c>
      <c r="C4" s="16" t="n">
        <f aca="false">前提条件!D12</f>
        <v>0</v>
      </c>
      <c r="D4" s="16" t="n">
        <f aca="false">前提条件!D13</f>
        <v>0</v>
      </c>
      <c r="E4" s="16" t="n">
        <f aca="false">前提条件!D14</f>
        <v>10</v>
      </c>
      <c r="F4" s="16" t="n">
        <f aca="false">前提条件!D15</f>
        <v>13</v>
      </c>
      <c r="G4" s="16" t="n">
        <f aca="false">前提条件!D16</f>
        <v>16</v>
      </c>
      <c r="H4" s="16" t="n">
        <f aca="false">前提条件!D17</f>
        <v>19</v>
      </c>
      <c r="I4" s="16" t="n">
        <f aca="false">前提条件!D18</f>
        <v>22</v>
      </c>
      <c r="J4" s="16" t="n">
        <f aca="false">前提条件!D19</f>
        <v>25</v>
      </c>
      <c r="K4" s="16" t="n">
        <f aca="false">前提条件!D20</f>
        <v>28</v>
      </c>
      <c r="L4" s="16" t="n">
        <f aca="false">前提条件!D21</f>
        <v>31</v>
      </c>
      <c r="M4" s="16" t="n">
        <f aca="false">前提条件!D22</f>
        <v>34</v>
      </c>
      <c r="N4" s="16" t="n">
        <f aca="false">前提条件!D23</f>
        <v>37</v>
      </c>
      <c r="O4" s="16" t="n">
        <f aca="false">SUM(C4:N4)</f>
        <v>235</v>
      </c>
    </row>
    <row r="5" customFormat="false" ht="15" hidden="false" customHeight="false" outlineLevel="0" collapsed="false">
      <c r="B5" s="9" t="s">
        <v>56</v>
      </c>
      <c r="C5" s="16" t="n">
        <f aca="false">C4*前提条件!C4</f>
        <v>0</v>
      </c>
      <c r="D5" s="16" t="n">
        <f aca="false">D4*前提条件!C4</f>
        <v>0</v>
      </c>
      <c r="E5" s="16" t="n">
        <f aca="false">E4*前提条件!C4</f>
        <v>3500000</v>
      </c>
      <c r="F5" s="16" t="n">
        <f aca="false">F4*前提条件!C4</f>
        <v>4550000</v>
      </c>
      <c r="G5" s="16" t="n">
        <f aca="false">G4*前提条件!C4</f>
        <v>5600000</v>
      </c>
      <c r="H5" s="16" t="n">
        <f aca="false">H4*前提条件!C4</f>
        <v>6650000</v>
      </c>
      <c r="I5" s="16" t="n">
        <f aca="false">I4*前提条件!C4</f>
        <v>7700000</v>
      </c>
      <c r="J5" s="16" t="n">
        <f aca="false">J4*前提条件!C4</f>
        <v>8750000</v>
      </c>
      <c r="K5" s="16" t="n">
        <f aca="false">K4*前提条件!C4</f>
        <v>9800000</v>
      </c>
      <c r="L5" s="16" t="n">
        <f aca="false">L4*前提条件!C4</f>
        <v>10850000</v>
      </c>
      <c r="M5" s="16" t="n">
        <f aca="false">M4*前提条件!C4</f>
        <v>11900000</v>
      </c>
      <c r="N5" s="16" t="n">
        <f aca="false">N4*前提条件!C4</f>
        <v>12950000</v>
      </c>
      <c r="O5" s="16" t="n">
        <f aca="false">SUM(C5:N5)</f>
        <v>82250000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17" t="s">
        <v>57</v>
      </c>
      <c r="C7" s="18" t="n">
        <f aca="false">C5*前提条件!C5</f>
        <v>0</v>
      </c>
      <c r="D7" s="18" t="n">
        <f aca="false">D5*前提条件!C5</f>
        <v>0</v>
      </c>
      <c r="E7" s="18" t="n">
        <f aca="false">E5*前提条件!C5</f>
        <v>1050000</v>
      </c>
      <c r="F7" s="18" t="n">
        <f aca="false">F5*前提条件!C5</f>
        <v>1365000</v>
      </c>
      <c r="G7" s="18" t="n">
        <f aca="false">G5*前提条件!C5</f>
        <v>1680000</v>
      </c>
      <c r="H7" s="18" t="n">
        <f aca="false">H5*前提条件!C5</f>
        <v>1995000</v>
      </c>
      <c r="I7" s="18" t="n">
        <f aca="false">I5*前提条件!C5</f>
        <v>2310000</v>
      </c>
      <c r="J7" s="18" t="n">
        <f aca="false">J5*前提条件!C5</f>
        <v>2625000</v>
      </c>
      <c r="K7" s="18" t="n">
        <f aca="false">K5*前提条件!C5</f>
        <v>2940000</v>
      </c>
      <c r="L7" s="18" t="n">
        <f aca="false">L5*前提条件!C5</f>
        <v>3255000</v>
      </c>
      <c r="M7" s="18" t="n">
        <f aca="false">M5*前提条件!C5</f>
        <v>3570000</v>
      </c>
      <c r="N7" s="18" t="n">
        <f aca="false">N5*前提条件!C5</f>
        <v>3885000</v>
      </c>
      <c r="O7" s="18" t="n">
        <f aca="false">SUM(C7:N7)</f>
        <v>24675000</v>
      </c>
    </row>
    <row r="8" customFormat="false" ht="15" hidden="false" customHeight="false" outlineLevel="0" collapsed="false">
      <c r="B8" s="3" t="s">
        <v>6</v>
      </c>
      <c r="C8" s="16" t="n">
        <f aca="false">C5*前提条件!C6</f>
        <v>0</v>
      </c>
      <c r="D8" s="16" t="n">
        <f aca="false">D5*前提条件!C6</f>
        <v>0</v>
      </c>
      <c r="E8" s="16" t="n">
        <f aca="false">E5*前提条件!C6</f>
        <v>126000</v>
      </c>
      <c r="F8" s="16" t="n">
        <f aca="false">F5*前提条件!C6</f>
        <v>163800</v>
      </c>
      <c r="G8" s="16" t="n">
        <f aca="false">G5*前提条件!C6</f>
        <v>201600</v>
      </c>
      <c r="H8" s="16" t="n">
        <f aca="false">H5*前提条件!C6</f>
        <v>239400</v>
      </c>
      <c r="I8" s="16" t="n">
        <f aca="false">I5*前提条件!C6</f>
        <v>277200</v>
      </c>
      <c r="J8" s="16" t="n">
        <f aca="false">J5*前提条件!C6</f>
        <v>315000</v>
      </c>
      <c r="K8" s="16" t="n">
        <f aca="false">K5*前提条件!C6</f>
        <v>352800</v>
      </c>
      <c r="L8" s="16" t="n">
        <f aca="false">L5*前提条件!C6</f>
        <v>390600</v>
      </c>
      <c r="M8" s="16" t="n">
        <f aca="false">M5*前提条件!C6</f>
        <v>428400</v>
      </c>
      <c r="N8" s="16" t="n">
        <f aca="false">N5*前提条件!C6</f>
        <v>466200</v>
      </c>
      <c r="O8" s="16" t="n">
        <f aca="false">SUM(C8:N8)</f>
        <v>2961000</v>
      </c>
    </row>
    <row r="9" customFormat="false" ht="15" hidden="false" customHeight="false" outlineLevel="0" collapsed="false">
      <c r="B9" s="17" t="s">
        <v>58</v>
      </c>
      <c r="C9" s="18" t="n">
        <f aca="false">C7-C8</f>
        <v>0</v>
      </c>
      <c r="D9" s="18" t="n">
        <f aca="false">D7-D8</f>
        <v>0</v>
      </c>
      <c r="E9" s="18" t="n">
        <f aca="false">E7-E8</f>
        <v>924000</v>
      </c>
      <c r="F9" s="18" t="n">
        <f aca="false">F7-F8</f>
        <v>1201200</v>
      </c>
      <c r="G9" s="18" t="n">
        <f aca="false">G7-G8</f>
        <v>1478400</v>
      </c>
      <c r="H9" s="18" t="n">
        <f aca="false">H7-H8</f>
        <v>1755600</v>
      </c>
      <c r="I9" s="18" t="n">
        <f aca="false">I7-I8</f>
        <v>2032800</v>
      </c>
      <c r="J9" s="18" t="n">
        <f aca="false">J7-J8</f>
        <v>2310000</v>
      </c>
      <c r="K9" s="18" t="n">
        <f aca="false">K7-K8</f>
        <v>2587200</v>
      </c>
      <c r="L9" s="18" t="n">
        <f aca="false">L7-L8</f>
        <v>2864400</v>
      </c>
      <c r="M9" s="18" t="n">
        <f aca="false">M7-M8</f>
        <v>3141600</v>
      </c>
      <c r="N9" s="18" t="n">
        <f aca="false">N7-N8</f>
        <v>3418800</v>
      </c>
      <c r="O9" s="18" t="n">
        <f aca="false">SUM(C9:N9)</f>
        <v>21714000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17" t="s">
        <v>59</v>
      </c>
    </row>
    <row r="12" customFormat="false" ht="15" hidden="false" customHeight="false" outlineLevel="0" collapsed="false">
      <c r="B12" s="3" t="s">
        <v>60</v>
      </c>
      <c r="C12" s="16" t="n">
        <f aca="false">前提条件!C27</f>
        <v>30000</v>
      </c>
      <c r="D12" s="16" t="n">
        <f aca="false">前提条件!C27</f>
        <v>30000</v>
      </c>
      <c r="E12" s="16" t="n">
        <f aca="false">前提条件!C27</f>
        <v>30000</v>
      </c>
      <c r="F12" s="16" t="n">
        <f aca="false">前提条件!C27</f>
        <v>30000</v>
      </c>
      <c r="G12" s="16" t="n">
        <f aca="false">前提条件!C27</f>
        <v>30000</v>
      </c>
      <c r="H12" s="16" t="n">
        <f aca="false">前提条件!C27</f>
        <v>30000</v>
      </c>
      <c r="I12" s="16" t="n">
        <f aca="false">前提条件!C27</f>
        <v>30000</v>
      </c>
      <c r="J12" s="16" t="n">
        <f aca="false">前提条件!C27</f>
        <v>30000</v>
      </c>
      <c r="K12" s="16" t="n">
        <f aca="false">前提条件!C27</f>
        <v>30000</v>
      </c>
      <c r="L12" s="16" t="n">
        <f aca="false">前提条件!C27</f>
        <v>30000</v>
      </c>
      <c r="M12" s="16" t="n">
        <f aca="false">前提条件!C27</f>
        <v>30000</v>
      </c>
      <c r="N12" s="16" t="n">
        <f aca="false">前提条件!C27</f>
        <v>30000</v>
      </c>
      <c r="O12" s="16" t="n">
        <f aca="false">SUM(C12:N12)</f>
        <v>360000</v>
      </c>
    </row>
    <row r="13" customFormat="false" ht="15" hidden="false" customHeight="false" outlineLevel="0" collapsed="false">
      <c r="B13" s="3" t="s">
        <v>61</v>
      </c>
      <c r="C13" s="16" t="n">
        <f aca="false">前提条件!C28</f>
        <v>20000</v>
      </c>
      <c r="D13" s="16" t="n">
        <f aca="false">前提条件!C28</f>
        <v>20000</v>
      </c>
      <c r="E13" s="16" t="n">
        <f aca="false">前提条件!C28</f>
        <v>20000</v>
      </c>
      <c r="F13" s="16" t="n">
        <f aca="false">前提条件!C28</f>
        <v>20000</v>
      </c>
      <c r="G13" s="16" t="n">
        <f aca="false">前提条件!C28</f>
        <v>20000</v>
      </c>
      <c r="H13" s="16" t="n">
        <f aca="false">前提条件!C28</f>
        <v>20000</v>
      </c>
      <c r="I13" s="16" t="n">
        <f aca="false">前提条件!C28</f>
        <v>20000</v>
      </c>
      <c r="J13" s="16" t="n">
        <f aca="false">前提条件!C28</f>
        <v>20000</v>
      </c>
      <c r="K13" s="16" t="n">
        <f aca="false">前提条件!C28</f>
        <v>20000</v>
      </c>
      <c r="L13" s="16" t="n">
        <f aca="false">前提条件!C28</f>
        <v>20000</v>
      </c>
      <c r="M13" s="16" t="n">
        <f aca="false">前提条件!C28</f>
        <v>20000</v>
      </c>
      <c r="N13" s="16" t="n">
        <f aca="false">前提条件!C28</f>
        <v>20000</v>
      </c>
      <c r="O13" s="16" t="n">
        <f aca="false">SUM(C13:N13)</f>
        <v>240000</v>
      </c>
    </row>
    <row r="14" customFormat="false" ht="15" hidden="false" customHeight="false" outlineLevel="0" collapsed="false">
      <c r="B14" s="3" t="s">
        <v>62</v>
      </c>
      <c r="C14" s="16" t="n">
        <f aca="false">前提条件!C29</f>
        <v>100000</v>
      </c>
      <c r="D14" s="16" t="n">
        <f aca="false">前提条件!C29</f>
        <v>100000</v>
      </c>
      <c r="E14" s="16" t="n">
        <f aca="false">前提条件!C29</f>
        <v>100000</v>
      </c>
      <c r="F14" s="16" t="n">
        <f aca="false">前提条件!C29</f>
        <v>100000</v>
      </c>
      <c r="G14" s="16" t="n">
        <f aca="false">前提条件!C29</f>
        <v>100000</v>
      </c>
      <c r="H14" s="16" t="n">
        <f aca="false">前提条件!C30</f>
        <v>300000</v>
      </c>
      <c r="I14" s="16" t="n">
        <f aca="false">前提条件!C30</f>
        <v>300000</v>
      </c>
      <c r="J14" s="16" t="n">
        <f aca="false">前提条件!C30</f>
        <v>300000</v>
      </c>
      <c r="K14" s="16" t="n">
        <f aca="false">前提条件!C30</f>
        <v>300000</v>
      </c>
      <c r="L14" s="16" t="n">
        <f aca="false">前提条件!C30</f>
        <v>300000</v>
      </c>
      <c r="M14" s="16" t="n">
        <f aca="false">前提条件!C30</f>
        <v>300000</v>
      </c>
      <c r="N14" s="16" t="n">
        <f aca="false">前提条件!C30</f>
        <v>300000</v>
      </c>
      <c r="O14" s="16" t="n">
        <f aca="false">SUM(C14:N14)</f>
        <v>2600000</v>
      </c>
    </row>
    <row r="15" customFormat="false" ht="15" hidden="false" customHeight="false" outlineLevel="0" collapsed="false">
      <c r="B15" s="3" t="s">
        <v>63</v>
      </c>
      <c r="C15" s="16" t="n">
        <f aca="false">前提条件!C31</f>
        <v>200000</v>
      </c>
      <c r="D15" s="16" t="n">
        <f aca="false">前提条件!C31</f>
        <v>200000</v>
      </c>
      <c r="E15" s="16" t="n">
        <f aca="false">前提条件!C31</f>
        <v>200000</v>
      </c>
      <c r="F15" s="16" t="n">
        <f aca="false">前提条件!C31</f>
        <v>200000</v>
      </c>
      <c r="G15" s="16" t="n">
        <f aca="false">前提条件!C31</f>
        <v>200000</v>
      </c>
      <c r="H15" s="16" t="n">
        <f aca="false">前提条件!C31</f>
        <v>200000</v>
      </c>
      <c r="I15" s="16" t="n">
        <f aca="false">前提条件!C31</f>
        <v>200000</v>
      </c>
      <c r="J15" s="16" t="n">
        <f aca="false">前提条件!C31</f>
        <v>200000</v>
      </c>
      <c r="K15" s="16" t="n">
        <f aca="false">前提条件!C31</f>
        <v>200000</v>
      </c>
      <c r="L15" s="16" t="n">
        <f aca="false">前提条件!C31</f>
        <v>200000</v>
      </c>
      <c r="M15" s="16" t="n">
        <f aca="false">前提条件!C31</f>
        <v>200000</v>
      </c>
      <c r="N15" s="16" t="n">
        <f aca="false">前提条件!C31</f>
        <v>200000</v>
      </c>
      <c r="O15" s="16" t="n">
        <f aca="false">SUM(C15:N15)</f>
        <v>2400000</v>
      </c>
    </row>
    <row r="16" customFormat="false" ht="15" hidden="false" customHeight="false" outlineLevel="0" collapsed="false">
      <c r="B16" s="3" t="s">
        <v>64</v>
      </c>
      <c r="C16" s="16" t="n">
        <f aca="false">前提条件!C32</f>
        <v>50000</v>
      </c>
      <c r="D16" s="16" t="n">
        <f aca="false">前提条件!C32</f>
        <v>50000</v>
      </c>
      <c r="E16" s="16" t="n">
        <f aca="false">前提条件!C32</f>
        <v>50000</v>
      </c>
      <c r="F16" s="16" t="n">
        <f aca="false">前提条件!C32</f>
        <v>50000</v>
      </c>
      <c r="G16" s="16" t="n">
        <f aca="false">前提条件!C32</f>
        <v>50000</v>
      </c>
      <c r="H16" s="16" t="n">
        <f aca="false">前提条件!C32</f>
        <v>50000</v>
      </c>
      <c r="I16" s="16" t="n">
        <f aca="false">前提条件!C32</f>
        <v>50000</v>
      </c>
      <c r="J16" s="16" t="n">
        <f aca="false">前提条件!C32</f>
        <v>50000</v>
      </c>
      <c r="K16" s="16" t="n">
        <f aca="false">前提条件!C32</f>
        <v>50000</v>
      </c>
      <c r="L16" s="16" t="n">
        <f aca="false">前提条件!C32</f>
        <v>50000</v>
      </c>
      <c r="M16" s="16" t="n">
        <f aca="false">前提条件!C32</f>
        <v>50000</v>
      </c>
      <c r="N16" s="16" t="n">
        <f aca="false">前提条件!C32</f>
        <v>50000</v>
      </c>
      <c r="O16" s="16" t="n">
        <f aca="false">SUM(C16:N16)</f>
        <v>600000</v>
      </c>
    </row>
    <row r="17" customFormat="false" ht="15" hidden="false" customHeight="false" outlineLevel="0" collapsed="false">
      <c r="B17" s="17" t="s">
        <v>65</v>
      </c>
      <c r="C17" s="18" t="n">
        <f aca="false">SUM(C12:C16)</f>
        <v>400000</v>
      </c>
      <c r="D17" s="18" t="n">
        <f aca="false">SUM(D12:D16)</f>
        <v>400000</v>
      </c>
      <c r="E17" s="18" t="n">
        <f aca="false">SUM(E12:E16)</f>
        <v>400000</v>
      </c>
      <c r="F17" s="18" t="n">
        <f aca="false">SUM(F12:F16)</f>
        <v>400000</v>
      </c>
      <c r="G17" s="18" t="n">
        <f aca="false">SUM(G12:G16)</f>
        <v>400000</v>
      </c>
      <c r="H17" s="18" t="n">
        <f aca="false">SUM(H12:H16)</f>
        <v>600000</v>
      </c>
      <c r="I17" s="18" t="n">
        <f aca="false">SUM(I12:I16)</f>
        <v>600000</v>
      </c>
      <c r="J17" s="18" t="n">
        <f aca="false">SUM(J12:J16)</f>
        <v>600000</v>
      </c>
      <c r="K17" s="18" t="n">
        <f aca="false">SUM(K12:K16)</f>
        <v>600000</v>
      </c>
      <c r="L17" s="18" t="n">
        <f aca="false">SUM(L12:L16)</f>
        <v>600000</v>
      </c>
      <c r="M17" s="18" t="n">
        <f aca="false">SUM(M12:M16)</f>
        <v>600000</v>
      </c>
      <c r="N17" s="18" t="n">
        <f aca="false">SUM(N12:N16)</f>
        <v>600000</v>
      </c>
      <c r="O17" s="18" t="n">
        <f aca="false">SUM(C17:N17)</f>
        <v>6200000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17" t="s">
        <v>66</v>
      </c>
      <c r="C19" s="19" t="n">
        <f aca="false">C9-C17</f>
        <v>-400000</v>
      </c>
      <c r="D19" s="19" t="n">
        <f aca="false">D9-D17</f>
        <v>-400000</v>
      </c>
      <c r="E19" s="19" t="n">
        <f aca="false">E9-E17</f>
        <v>524000</v>
      </c>
      <c r="F19" s="19" t="n">
        <f aca="false">F9-F17</f>
        <v>801200</v>
      </c>
      <c r="G19" s="19" t="n">
        <f aca="false">G9-G17</f>
        <v>1078400</v>
      </c>
      <c r="H19" s="19" t="n">
        <f aca="false">H9-H17</f>
        <v>1155600</v>
      </c>
      <c r="I19" s="19" t="n">
        <f aca="false">I9-I17</f>
        <v>1432800</v>
      </c>
      <c r="J19" s="19" t="n">
        <f aca="false">J9-J17</f>
        <v>1710000</v>
      </c>
      <c r="K19" s="19" t="n">
        <f aca="false">K9-K17</f>
        <v>1987200</v>
      </c>
      <c r="L19" s="19" t="n">
        <f aca="false">L9-L17</f>
        <v>2264400</v>
      </c>
      <c r="M19" s="19" t="n">
        <f aca="false">M9-M17</f>
        <v>2541600</v>
      </c>
      <c r="N19" s="19" t="n">
        <f aca="false">N9-N17</f>
        <v>2818800</v>
      </c>
      <c r="O19" s="19" t="n">
        <f aca="false">SUM(C19:N19)</f>
        <v>15514000</v>
      </c>
    </row>
    <row r="20" customFormat="false" ht="15" hidden="false" customHeight="false" outlineLevel="0" collapsed="false">
      <c r="B20" s="17" t="s">
        <v>67</v>
      </c>
      <c r="C20" s="20" t="n">
        <f aca="false">IF(C7=0,0,C19/C7)</f>
        <v>0</v>
      </c>
      <c r="D20" s="20" t="n">
        <f aca="false">IF(D7=0,0,D19/D7)</f>
        <v>0</v>
      </c>
      <c r="E20" s="20" t="n">
        <f aca="false">IF(E7=0,0,E19/E7)</f>
        <v>0.499047619047619</v>
      </c>
      <c r="F20" s="20" t="n">
        <f aca="false">IF(F7=0,0,F19/F7)</f>
        <v>0.586959706959707</v>
      </c>
      <c r="G20" s="20" t="n">
        <f aca="false">IF(G7=0,0,G19/G7)</f>
        <v>0.641904761904762</v>
      </c>
      <c r="H20" s="20" t="n">
        <f aca="false">IF(H7=0,0,H19/H7)</f>
        <v>0.579248120300752</v>
      </c>
      <c r="I20" s="20" t="n">
        <f aca="false">IF(I7=0,0,I19/I7)</f>
        <v>0.62025974025974</v>
      </c>
      <c r="J20" s="20" t="n">
        <f aca="false">IF(J7=0,0,J19/J7)</f>
        <v>0.651428571428572</v>
      </c>
      <c r="K20" s="20" t="n">
        <f aca="false">IF(K7=0,0,K19/K7)</f>
        <v>0.675918367346939</v>
      </c>
      <c r="L20" s="20" t="n">
        <f aca="false">IF(L7=0,0,L19/L7)</f>
        <v>0.695668202764977</v>
      </c>
      <c r="M20" s="20" t="n">
        <f aca="false">IF(M7=0,0,M19/M7)</f>
        <v>0.711932773109244</v>
      </c>
      <c r="N20" s="20" t="n">
        <f aca="false">IF(N7=0,0,N19/N7)</f>
        <v>0.725559845559846</v>
      </c>
      <c r="O20" s="20" t="n">
        <f aca="false">IF(O7=0,0,O19/O7)</f>
        <v>0.628733535967579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145"/>
    <pageSetUpPr fitToPage="false"/>
  </sheetPr>
  <dimension ref="B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1" min="3" style="0" width="16"/>
  </cols>
  <sheetData>
    <row r="1" customFormat="false" ht="21.6" hidden="false" customHeight="false" outlineLevel="0" collapsed="false">
      <c r="B1" s="12" t="s">
        <v>68</v>
      </c>
      <c r="C1" s="12"/>
      <c r="D1" s="12"/>
      <c r="E1" s="12"/>
      <c r="F1" s="12"/>
      <c r="G1" s="12"/>
      <c r="H1" s="12"/>
      <c r="I1" s="12"/>
      <c r="J1" s="12"/>
    </row>
    <row r="3" customFormat="false" ht="15" hidden="false" customHeight="false" outlineLevel="0" collapsed="false">
      <c r="B3" s="13" t="s">
        <v>41</v>
      </c>
      <c r="C3" s="21" t="s">
        <v>69</v>
      </c>
      <c r="D3" s="21" t="s">
        <v>70</v>
      </c>
      <c r="E3" s="21" t="s">
        <v>71</v>
      </c>
      <c r="F3" s="21" t="s">
        <v>72</v>
      </c>
      <c r="G3" s="21" t="s">
        <v>73</v>
      </c>
      <c r="H3" s="21" t="s">
        <v>74</v>
      </c>
      <c r="I3" s="21" t="s">
        <v>75</v>
      </c>
      <c r="J3" s="21" t="s">
        <v>76</v>
      </c>
      <c r="K3" s="21" t="s">
        <v>77</v>
      </c>
    </row>
    <row r="4" customFormat="false" ht="15" hidden="false" customHeight="false" outlineLevel="0" collapsed="false">
      <c r="B4" s="22" t="s">
        <v>78</v>
      </c>
      <c r="C4" s="4" t="n">
        <v>50000000</v>
      </c>
      <c r="D4" s="4" t="n">
        <v>120000000</v>
      </c>
      <c r="E4" s="4" t="n">
        <v>200000000</v>
      </c>
      <c r="F4" s="4" t="n">
        <v>80000000</v>
      </c>
      <c r="G4" s="4" t="n">
        <v>200000000</v>
      </c>
      <c r="H4" s="4" t="n">
        <v>350000000</v>
      </c>
      <c r="I4" s="4" t="n">
        <v>120000000</v>
      </c>
      <c r="J4" s="4" t="n">
        <v>350000000</v>
      </c>
      <c r="K4" s="4" t="n">
        <v>600000000</v>
      </c>
    </row>
    <row r="5" customFormat="false" ht="15" hidden="false" customHeight="false" outlineLevel="0" collapsed="false">
      <c r="B5" s="17" t="s">
        <v>79</v>
      </c>
      <c r="C5" s="18" t="n">
        <f aca="false">C4*前提条件!C5</f>
        <v>15000000</v>
      </c>
      <c r="D5" s="18" t="n">
        <f aca="false">D4*前提条件!C5</f>
        <v>36000000</v>
      </c>
      <c r="E5" s="18" t="n">
        <f aca="false">E4*前提条件!C5</f>
        <v>60000000</v>
      </c>
      <c r="F5" s="18" t="n">
        <f aca="false">F4*前提条件!C5</f>
        <v>24000000</v>
      </c>
      <c r="G5" s="18" t="n">
        <f aca="false">G4*前提条件!C5</f>
        <v>60000000</v>
      </c>
      <c r="H5" s="18" t="n">
        <f aca="false">H4*前提条件!C5</f>
        <v>105000000</v>
      </c>
      <c r="I5" s="18" t="n">
        <f aca="false">I4*前提条件!C5</f>
        <v>36000000</v>
      </c>
      <c r="J5" s="18" t="n">
        <f aca="false">J4*前提条件!C5</f>
        <v>105000000</v>
      </c>
      <c r="K5" s="18" t="n">
        <f aca="false">K4*前提条件!C5</f>
        <v>180000000</v>
      </c>
    </row>
    <row r="6" customFormat="false" ht="15" hidden="false" customHeight="false" outlineLevel="0" collapsed="false">
      <c r="B6" s="3" t="s">
        <v>80</v>
      </c>
      <c r="C6" s="16" t="n">
        <f aca="false">C4*前提条件!C6</f>
        <v>1800000</v>
      </c>
      <c r="D6" s="16" t="n">
        <f aca="false">D4*前提条件!C6</f>
        <v>4320000</v>
      </c>
      <c r="E6" s="16" t="n">
        <f aca="false">E4*前提条件!C6</f>
        <v>7200000</v>
      </c>
      <c r="F6" s="16" t="n">
        <f aca="false">F4*前提条件!C6</f>
        <v>2880000</v>
      </c>
      <c r="G6" s="16" t="n">
        <f aca="false">G4*前提条件!C6</f>
        <v>7200000</v>
      </c>
      <c r="H6" s="16" t="n">
        <f aca="false">H4*前提条件!C6</f>
        <v>12600000</v>
      </c>
      <c r="I6" s="16" t="n">
        <f aca="false">I4*前提条件!C6</f>
        <v>4320000</v>
      </c>
      <c r="J6" s="16" t="n">
        <f aca="false">J4*前提条件!C6</f>
        <v>12600000</v>
      </c>
      <c r="K6" s="16" t="n">
        <f aca="false">K4*前提条件!C6</f>
        <v>21600000</v>
      </c>
    </row>
    <row r="7" customFormat="false" ht="15" hidden="false" customHeight="false" outlineLevel="0" collapsed="false">
      <c r="B7" s="17" t="s">
        <v>58</v>
      </c>
      <c r="C7" s="18" t="n">
        <f aca="false">C5-C6</f>
        <v>13200000</v>
      </c>
      <c r="D7" s="18" t="n">
        <f aca="false">D5-D6</f>
        <v>31680000</v>
      </c>
      <c r="E7" s="18" t="n">
        <f aca="false">E5-E6</f>
        <v>52800000</v>
      </c>
      <c r="F7" s="18" t="n">
        <f aca="false">F5-F6</f>
        <v>21120000</v>
      </c>
      <c r="G7" s="18" t="n">
        <f aca="false">G5-G6</f>
        <v>52800000</v>
      </c>
      <c r="H7" s="18" t="n">
        <f aca="false">H5-H6</f>
        <v>92400000</v>
      </c>
      <c r="I7" s="18" t="n">
        <f aca="false">I5-I6</f>
        <v>31680000</v>
      </c>
      <c r="J7" s="18" t="n">
        <f aca="false">J5-J6</f>
        <v>92400000</v>
      </c>
      <c r="K7" s="18" t="n">
        <f aca="false">K5-K6</f>
        <v>158400000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3" t="s">
        <v>59</v>
      </c>
    </row>
    <row r="10" customFormat="false" ht="15" hidden="false" customHeight="false" outlineLevel="0" collapsed="false">
      <c r="B10" s="3" t="s">
        <v>60</v>
      </c>
      <c r="C10" s="23" t="n">
        <v>360000</v>
      </c>
      <c r="D10" s="23" t="n">
        <v>720000</v>
      </c>
      <c r="E10" s="23" t="n">
        <v>1200000</v>
      </c>
      <c r="F10" s="23" t="n">
        <v>360000</v>
      </c>
      <c r="G10" s="23" t="n">
        <v>720000</v>
      </c>
      <c r="H10" s="23" t="n">
        <v>1200000</v>
      </c>
      <c r="I10" s="23" t="n">
        <v>360000</v>
      </c>
      <c r="J10" s="23" t="n">
        <v>720000</v>
      </c>
      <c r="K10" s="23" t="n">
        <v>1200000</v>
      </c>
    </row>
    <row r="11" customFormat="false" ht="15" hidden="false" customHeight="false" outlineLevel="0" collapsed="false">
      <c r="B11" s="3" t="s">
        <v>61</v>
      </c>
      <c r="C11" s="23" t="n">
        <v>240000</v>
      </c>
      <c r="D11" s="23" t="n">
        <v>360000</v>
      </c>
      <c r="E11" s="23" t="n">
        <v>480000</v>
      </c>
      <c r="F11" s="23" t="n">
        <v>240000</v>
      </c>
      <c r="G11" s="23" t="n">
        <v>360000</v>
      </c>
      <c r="H11" s="23" t="n">
        <v>480000</v>
      </c>
      <c r="I11" s="23" t="n">
        <v>240000</v>
      </c>
      <c r="J11" s="23" t="n">
        <v>360000</v>
      </c>
      <c r="K11" s="23" t="n">
        <v>480000</v>
      </c>
    </row>
    <row r="12" customFormat="false" ht="15" hidden="false" customHeight="false" outlineLevel="0" collapsed="false">
      <c r="B12" s="3" t="s">
        <v>62</v>
      </c>
      <c r="C12" s="23" t="n">
        <v>1800000</v>
      </c>
      <c r="D12" s="23" t="n">
        <v>3600000</v>
      </c>
      <c r="E12" s="23" t="n">
        <v>5400000</v>
      </c>
      <c r="F12" s="23" t="n">
        <v>2800000</v>
      </c>
      <c r="G12" s="23" t="n">
        <v>5600000</v>
      </c>
      <c r="H12" s="23" t="n">
        <v>8400000</v>
      </c>
      <c r="I12" s="23" t="n">
        <v>4000000</v>
      </c>
      <c r="J12" s="23" t="n">
        <v>8000000</v>
      </c>
      <c r="K12" s="23" t="n">
        <v>12000000</v>
      </c>
    </row>
    <row r="13" customFormat="false" ht="15" hidden="false" customHeight="false" outlineLevel="0" collapsed="false">
      <c r="B13" s="3" t="s">
        <v>81</v>
      </c>
      <c r="C13" s="23" t="n">
        <v>2400000</v>
      </c>
      <c r="D13" s="23" t="n">
        <v>6000000</v>
      </c>
      <c r="E13" s="23" t="n">
        <v>9600000</v>
      </c>
      <c r="F13" s="23" t="n">
        <v>2400000</v>
      </c>
      <c r="G13" s="23" t="n">
        <v>6000000</v>
      </c>
      <c r="H13" s="23" t="n">
        <v>9600000</v>
      </c>
      <c r="I13" s="23" t="n">
        <v>2400000</v>
      </c>
      <c r="J13" s="23" t="n">
        <v>6000000</v>
      </c>
      <c r="K13" s="23" t="n">
        <v>9600000</v>
      </c>
    </row>
    <row r="14" customFormat="false" ht="15" hidden="false" customHeight="false" outlineLevel="0" collapsed="false">
      <c r="B14" s="3" t="s">
        <v>64</v>
      </c>
      <c r="C14" s="23" t="n">
        <v>600000</v>
      </c>
      <c r="D14" s="23" t="n">
        <v>900000</v>
      </c>
      <c r="E14" s="23" t="n">
        <v>1200000</v>
      </c>
      <c r="F14" s="23" t="n">
        <v>600000</v>
      </c>
      <c r="G14" s="23" t="n">
        <v>900000</v>
      </c>
      <c r="H14" s="23" t="n">
        <v>1200000</v>
      </c>
      <c r="I14" s="23" t="n">
        <v>600000</v>
      </c>
      <c r="J14" s="23" t="n">
        <v>900000</v>
      </c>
      <c r="K14" s="23" t="n">
        <v>1200000</v>
      </c>
    </row>
    <row r="15" customFormat="false" ht="15" hidden="false" customHeight="false" outlineLevel="0" collapsed="false">
      <c r="B15" s="17" t="s">
        <v>65</v>
      </c>
      <c r="C15" s="18" t="n">
        <f aca="false">SUM(C10:C14)</f>
        <v>5400000</v>
      </c>
      <c r="D15" s="18" t="n">
        <f aca="false">SUM(D10:D14)</f>
        <v>11580000</v>
      </c>
      <c r="E15" s="18" t="n">
        <f aca="false">SUM(E10:E14)</f>
        <v>17880000</v>
      </c>
      <c r="F15" s="18" t="n">
        <f aca="false">SUM(F10:F14)</f>
        <v>6400000</v>
      </c>
      <c r="G15" s="18" t="n">
        <f aca="false">SUM(G10:G14)</f>
        <v>13580000</v>
      </c>
      <c r="H15" s="18" t="n">
        <f aca="false">SUM(H10:H14)</f>
        <v>20880000</v>
      </c>
      <c r="I15" s="18" t="n">
        <f aca="false">SUM(I10:I14)</f>
        <v>7600000</v>
      </c>
      <c r="J15" s="18" t="n">
        <f aca="false">SUM(J10:J14)</f>
        <v>15980000</v>
      </c>
      <c r="K15" s="18" t="n">
        <f aca="false">SUM(K10:K14)</f>
        <v>24480000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17" t="s">
        <v>66</v>
      </c>
      <c r="C17" s="19" t="n">
        <f aca="false">C7-C15</f>
        <v>7800000</v>
      </c>
      <c r="D17" s="19" t="n">
        <f aca="false">D7-D15</f>
        <v>20100000</v>
      </c>
      <c r="E17" s="19" t="n">
        <f aca="false">E7-E15</f>
        <v>34920000</v>
      </c>
      <c r="F17" s="19" t="n">
        <f aca="false">F7-F15</f>
        <v>14720000</v>
      </c>
      <c r="G17" s="19" t="n">
        <f aca="false">G7-G15</f>
        <v>39220000</v>
      </c>
      <c r="H17" s="19" t="n">
        <f aca="false">H7-H15</f>
        <v>71520000</v>
      </c>
      <c r="I17" s="19" t="n">
        <f aca="false">I7-I15</f>
        <v>24080000</v>
      </c>
      <c r="J17" s="19" t="n">
        <f aca="false">J7-J15</f>
        <v>76420000</v>
      </c>
      <c r="K17" s="19" t="n">
        <f aca="false">K7-K15</f>
        <v>133920000</v>
      </c>
    </row>
    <row r="18" customFormat="false" ht="15" hidden="false" customHeight="false" outlineLevel="0" collapsed="false">
      <c r="B18" s="17" t="s">
        <v>67</v>
      </c>
      <c r="C18" s="20" t="n">
        <f aca="false">IF(C5=0,0,C17/C5)</f>
        <v>0.52</v>
      </c>
      <c r="D18" s="20" t="n">
        <f aca="false">IF(D5=0,0,D17/D5)</f>
        <v>0.558333333333333</v>
      </c>
      <c r="E18" s="20" t="n">
        <f aca="false">IF(E5=0,0,E17/E5)</f>
        <v>0.582</v>
      </c>
      <c r="F18" s="20" t="n">
        <f aca="false">IF(F5=0,0,F17/F5)</f>
        <v>0.613333333333333</v>
      </c>
      <c r="G18" s="20" t="n">
        <f aca="false">IF(G5=0,0,G17/G5)</f>
        <v>0.653666666666667</v>
      </c>
      <c r="H18" s="20" t="n">
        <f aca="false">IF(H5=0,0,H17/H5)</f>
        <v>0.681142857142857</v>
      </c>
      <c r="I18" s="20" t="n">
        <f aca="false">IF(I5=0,0,I17/I5)</f>
        <v>0.668888888888889</v>
      </c>
      <c r="J18" s="20" t="n">
        <f aca="false">IF(J5=0,0,J17/J5)</f>
        <v>0.727809523809524</v>
      </c>
      <c r="K18" s="20" t="n">
        <f aca="false">IF(K5=0,0,K17/K5)</f>
        <v>0.744</v>
      </c>
    </row>
  </sheetData>
  <mergeCells count="1">
    <mergeCell ref="B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2026-07-06T07:49:30Z</dcterms:created>
  <dc:creator>openpyxl</dc:creator>
  <dc:description/>
  <dc:language>en-US</dc:language>
  <cp:lastModifiedBy/>
  <dcterms:modified xsi:type="dcterms:W3CDTF">2026-07-06T07:49:30Z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